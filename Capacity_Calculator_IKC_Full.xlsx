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acity Calculato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b val="1"/>
      <color rgb="00FFFFFF"/>
      <sz val="14"/>
    </font>
    <font>
      <sz val="10"/>
    </font>
    <font>
      <b val="1"/>
      <color rgb="00FFFFFF"/>
      <sz val="12"/>
    </font>
    <font>
      <i val="1"/>
      <sz val="9"/>
    </font>
    <font>
      <b val="1"/>
      <sz val="10"/>
    </font>
    <font>
      <sz val="9"/>
    </font>
    <font>
      <b val="1"/>
      <i val="1"/>
      <color rgb="00CC0000"/>
      <sz val="9"/>
    </font>
    <font>
      <b val="1"/>
      <color rgb="00FFFFFF"/>
      <sz val="11"/>
    </font>
    <font>
      <b val="1"/>
      <i val="1"/>
      <color rgb="001F4E78"/>
      <sz val="9"/>
    </font>
    <font>
      <b val="1"/>
    </font>
  </fonts>
  <fills count="14">
    <fill>
      <patternFill/>
    </fill>
    <fill>
      <patternFill patternType="gray125"/>
    </fill>
    <fill>
      <patternFill patternType="solid">
        <fgColor rgb="0000B050"/>
        <bgColor rgb="0000B050"/>
      </patternFill>
    </fill>
    <fill>
      <patternFill patternType="solid">
        <fgColor rgb="001F4E78"/>
        <bgColor rgb="001F4E78"/>
      </patternFill>
    </fill>
    <fill>
      <patternFill patternType="solid">
        <fgColor rgb="00D9E1F2"/>
        <bgColor rgb="00D9E1F2"/>
      </patternFill>
    </fill>
    <fill>
      <patternFill patternType="solid">
        <fgColor rgb="00E7E6E6"/>
        <bgColor rgb="00E7E6E6"/>
      </patternFill>
    </fill>
    <fill>
      <patternFill patternType="solid">
        <fgColor rgb="0070AD47"/>
        <bgColor rgb="0070AD47"/>
      </patternFill>
    </fill>
    <fill>
      <patternFill patternType="solid">
        <fgColor rgb="00C6E0B4"/>
        <bgColor rgb="00C6E0B4"/>
      </patternFill>
    </fill>
    <fill>
      <patternFill patternType="solid">
        <fgColor rgb="00FF6B6B"/>
        <bgColor rgb="00FF6B6B"/>
      </patternFill>
    </fill>
    <fill>
      <patternFill patternType="solid">
        <fgColor rgb="004472C4"/>
        <bgColor rgb="004472C4"/>
      </patternFill>
    </fill>
    <fill>
      <patternFill patternType="solid">
        <fgColor rgb="00FFF2CC"/>
        <bgColor rgb="00FFF2CC"/>
      </patternFill>
    </fill>
    <fill>
      <patternFill patternType="solid">
        <fgColor rgb="00FFC000"/>
        <bgColor rgb="00FFC000"/>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3" fillId="3" borderId="0" applyAlignment="1" pivotButton="0" quotePrefix="0" xfId="0">
      <alignment horizontal="center" vertical="center"/>
    </xf>
    <xf numFmtId="0" fontId="4" fillId="0" borderId="0" applyAlignment="1" pivotButton="0" quotePrefix="0" xfId="0">
      <alignment horizontal="left" vertical="top" wrapText="1"/>
    </xf>
    <xf numFmtId="0" fontId="5" fillId="4" borderId="1" applyAlignment="1" pivotButton="0" quotePrefix="0" xfId="0">
      <alignment horizontal="center"/>
    </xf>
    <xf numFmtId="0" fontId="0" fillId="0" borderId="1" applyAlignment="1" pivotButton="0" quotePrefix="0" xfId="0">
      <alignment horizontal="center"/>
    </xf>
    <xf numFmtId="4" fontId="0" fillId="0" borderId="1" applyAlignment="1" pivotButton="0" quotePrefix="0" xfId="0">
      <alignment horizontal="right"/>
    </xf>
    <xf numFmtId="0" fontId="5" fillId="5" borderId="1" pivotButton="0" quotePrefix="0" xfId="0"/>
    <xf numFmtId="4" fontId="5" fillId="5" borderId="1" pivotButton="0" quotePrefix="0" xfId="0"/>
    <xf numFmtId="2" fontId="5" fillId="5" borderId="1" pivotButton="0" quotePrefix="0" xfId="0"/>
    <xf numFmtId="0" fontId="6" fillId="5" borderId="1" applyAlignment="1" pivotButton="0" quotePrefix="0" xfId="0">
      <alignment horizontal="right"/>
    </xf>
    <xf numFmtId="0" fontId="3" fillId="6" borderId="0" applyAlignment="1" pivotButton="0" quotePrefix="0" xfId="0">
      <alignment horizontal="center" vertical="center"/>
    </xf>
    <xf numFmtId="4" fontId="0" fillId="7" borderId="1" applyAlignment="1" pivotButton="0" quotePrefix="0" xfId="0">
      <alignment horizontal="right"/>
    </xf>
    <xf numFmtId="0" fontId="3" fillId="8" borderId="0" applyAlignment="1" pivotButton="0" quotePrefix="0" xfId="0">
      <alignment horizontal="center" vertical="center"/>
    </xf>
    <xf numFmtId="0" fontId="7" fillId="0" borderId="0" applyAlignment="1" pivotButton="0" quotePrefix="0" xfId="0">
      <alignment horizontal="left" vertical="top" wrapText="1"/>
    </xf>
    <xf numFmtId="0" fontId="8" fillId="9" borderId="1" applyAlignment="1" pivotButton="0" quotePrefix="0" xfId="0">
      <alignment horizontal="center"/>
    </xf>
    <xf numFmtId="4" fontId="5" fillId="10" borderId="1" applyAlignment="1" pivotButton="0" quotePrefix="0" xfId="0">
      <alignment horizontal="center"/>
    </xf>
    <xf numFmtId="0" fontId="3" fillId="11" borderId="0" applyAlignment="1" pivotButton="0" quotePrefix="0" xfId="0">
      <alignment horizontal="center" vertical="center"/>
    </xf>
    <xf numFmtId="0" fontId="9" fillId="0" borderId="0" applyAlignment="1" pivotButton="0" quotePrefix="0" xfId="0">
      <alignment horizontal="left" vertical="top" wrapText="1"/>
    </xf>
    <xf numFmtId="4" fontId="10" fillId="12" borderId="1" applyAlignment="1" pivotButton="0" quotePrefix="0" xfId="0">
      <alignment horizontal="right"/>
    </xf>
    <xf numFmtId="4" fontId="10" fillId="13" borderId="1" applyAlignment="1" pivotButton="0" quotePrefix="0" xfId="0">
      <alignment horizontal="right"/>
    </xf>
    <xf numFmtId="4" fontId="10" fillId="10" borderId="1" applyAlignment="1" pivotButton="0" quotePrefix="0" xfId="0">
      <alignment horizontal="right"/>
    </xf>
    <xf numFmtId="164" fontId="10" fillId="12" borderId="1" applyAlignment="1" pivotButton="0" quotePrefix="0" xfId="0">
      <alignment horizontal="center"/>
    </xf>
    <xf numFmtId="0" fontId="5" fillId="0" borderId="1" applyAlignment="1" pivotButton="0" quotePrefix="0" xfId="0">
      <alignment horizontal="center"/>
    </xf>
    <xf numFmtId="0"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Available Capacity vs Consumed Capacity by Month</a:t>
            </a:r>
          </a:p>
        </rich>
      </tx>
    </title>
    <plotArea>
      <barChart>
        <barDir val="col"/>
        <grouping val="clustered"/>
        <ser>
          <idx val="0"/>
          <order val="0"/>
          <tx>
            <strRef>
              <f>'Capacity Calculator'!B87</f>
            </strRef>
          </tx>
          <spPr>
            <a:ln xmlns:a="http://schemas.openxmlformats.org/drawingml/2006/main">
              <a:prstDash val="solid"/>
            </a:ln>
          </spPr>
          <cat>
            <numRef>
              <f>'Capacity Calculator'!$A$88:$A$92</f>
            </numRef>
          </cat>
          <val>
            <numRef>
              <f>'Capacity Calculator'!$B$88:$B$92</f>
            </numRef>
          </val>
        </ser>
        <ser>
          <idx val="1"/>
          <order val="1"/>
          <tx>
            <strRef>
              <f>'Capacity Calculator'!C87</f>
            </strRef>
          </tx>
          <spPr>
            <a:ln xmlns:a="http://schemas.openxmlformats.org/drawingml/2006/main">
              <a:prstDash val="solid"/>
            </a:ln>
          </spPr>
          <cat>
            <numRef>
              <f>'Capacity Calculator'!$A$88:$A$92</f>
            </numRef>
          </cat>
          <val>
            <numRef>
              <f>'Capacity Calculator'!$C$88:$C$92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Standard Units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94</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18" customWidth="1" min="6" max="6"/>
  </cols>
  <sheetData>
    <row r="1" ht="25" customHeight="1">
      <c r="A1" s="1" t="inlineStr">
        <is>
          <t>CAPACITY CALCULATOR - QUICK START GUIDE</t>
        </is>
      </c>
    </row>
    <row r="3" ht="35" customHeight="1">
      <c r="A3" s="2" t="inlineStr">
        <is>
          <t>Step 1: Review the 'Available Capacity by Month' - This shows the reference capacity (in standard units) for each month.</t>
        </is>
      </c>
    </row>
    <row r="5" ht="35" customHeight="1">
      <c r="A5" s="2" t="inlineStr">
        <is>
          <t>Step 2: Check the 'Factors per Program' - Each program has a conversion factor. Factors &gt; 1 mean you can produce MORE units than standard capacity.</t>
        </is>
      </c>
    </row>
    <row r="7" ht="35" customHeight="1">
      <c r="A7" s="2" t="inlineStr">
        <is>
          <t xml:space="preserve">         Factors &lt; 1 mean you can produce FEWER units than standard capacity.</t>
        </is>
      </c>
    </row>
    <row r="9" ht="35" customHeight="1">
      <c r="A9" s="2" t="inlineStr">
        <is>
          <t>Step 3: Enter your demand in 'Demand Input by Customer' (YELLOW CELLS) - Input how many units you want to produce per program per month.</t>
        </is>
      </c>
    </row>
    <row r="11" ht="35" customHeight="1">
      <c r="A11" s="2" t="inlineStr">
        <is>
          <t>Step 4: The calculator automatically computes the standard capacity consumed by your demand.</t>
        </is>
      </c>
    </row>
    <row r="13" ht="35" customHeight="1">
      <c r="A13" s="2" t="inlineStr">
        <is>
          <t>Step 5: Review 'Monthly Summary &amp; Validation' to see if you're within capacity limits. Green = OK, Yellow = Warning (&gt;80%), Red = Over capacity.</t>
        </is>
      </c>
    </row>
    <row r="15" ht="35" customHeight="1">
      <c r="A15" s="2" t="inlineStr">
        <is>
          <t>Step 6: Check the CHARTS section to see your capacity visually - Available vs Consumed by month.</t>
        </is>
      </c>
    </row>
    <row r="17" ht="35" customHeight="1">
      <c r="A17" s="2" t="inlineStr">
        <is>
          <t>Step 7: Download Excel or adjust your demand if needed.</t>
        </is>
      </c>
    </row>
    <row r="20" ht="20" customHeight="1">
      <c r="A20" s="3" t="inlineStr">
        <is>
          <t>1. AVAILABLE CAPACITY BY MONTH (Reference Unit = 1.0 Factor)</t>
        </is>
      </c>
    </row>
    <row r="21" ht="25" customHeight="1">
      <c r="A21" s="4" t="inlineStr">
        <is>
          <t>This is the total standard capacity available for each month. All programs will be measured against these numbers using their respective conversion factors.</t>
        </is>
      </c>
    </row>
    <row r="23">
      <c r="A23" s="5" t="inlineStr">
        <is>
          <t>Month</t>
        </is>
      </c>
      <c r="B23" s="5" t="inlineStr">
        <is>
          <t>Available Capacity (Standard Units)</t>
        </is>
      </c>
    </row>
    <row r="24">
      <c r="A24" s="6" t="inlineStr">
        <is>
          <t>Aug</t>
        </is>
      </c>
      <c r="B24" s="7" t="n">
        <v>9906</v>
      </c>
    </row>
    <row r="25">
      <c r="A25" s="6" t="inlineStr">
        <is>
          <t>Sep</t>
        </is>
      </c>
      <c r="B25" s="7" t="n">
        <v>152384</v>
      </c>
    </row>
    <row r="26">
      <c r="A26" s="6" t="inlineStr">
        <is>
          <t>Oct</t>
        </is>
      </c>
      <c r="B26" s="7" t="n">
        <v>248234</v>
      </c>
    </row>
    <row r="27">
      <c r="A27" s="6" t="inlineStr">
        <is>
          <t>Nov</t>
        </is>
      </c>
      <c r="B27" s="7" t="n">
        <v>222844</v>
      </c>
    </row>
    <row r="28">
      <c r="A28" s="6" t="inlineStr">
        <is>
          <t>Dec</t>
        </is>
      </c>
      <c r="B28" s="7" t="n">
        <v>185964</v>
      </c>
    </row>
    <row r="29">
      <c r="A29" s="8" t="inlineStr">
        <is>
          <t>TOTAL</t>
        </is>
      </c>
      <c r="B29" s="9" t="n">
        <v>819332</v>
      </c>
    </row>
    <row r="32" ht="20" customHeight="1">
      <c r="A32" s="3" t="inlineStr">
        <is>
          <t>2. CONVERSION FACTORS BY PROGRAM</t>
        </is>
      </c>
    </row>
    <row r="33" ht="25" customHeight="1">
      <c r="A33" s="4" t="inlineStr">
        <is>
          <t>Each program has a conversion factor. If factor &gt; 1: You can produce MORE units. If factor &lt; 1: You can produce FEWER units.</t>
        </is>
      </c>
    </row>
    <row r="35">
      <c r="A35" s="5" t="inlineStr">
        <is>
          <t>Program</t>
        </is>
      </c>
      <c r="B35" s="5" t="inlineStr">
        <is>
          <t>Conversion Factor</t>
        </is>
      </c>
      <c r="C35" s="5" t="inlineStr">
        <is>
          <t>Example (August)</t>
        </is>
      </c>
    </row>
    <row r="36">
      <c r="A36" s="8" t="inlineStr">
        <is>
          <t>Game</t>
        </is>
      </c>
      <c r="B36" s="10" t="n">
        <v>0.63</v>
      </c>
      <c r="C36" s="11" t="inlineStr">
        <is>
          <t>6,241 units possible</t>
        </is>
      </c>
    </row>
    <row r="37">
      <c r="A37" s="8" t="inlineStr">
        <is>
          <t>Legend</t>
        </is>
      </c>
      <c r="B37" s="10" t="n">
        <v>1.73</v>
      </c>
      <c r="C37" s="11" t="inlineStr">
        <is>
          <t>17,137 units possible</t>
        </is>
      </c>
    </row>
    <row r="38">
      <c r="A38" s="8" t="inlineStr">
        <is>
          <t>MLB</t>
        </is>
      </c>
      <c r="B38" s="10" t="n">
        <v>0.6899999999999999</v>
      </c>
      <c r="C38" s="11" t="inlineStr">
        <is>
          <t>6,835 units possible</t>
        </is>
      </c>
    </row>
    <row r="39">
      <c r="A39" s="8" t="inlineStr">
        <is>
          <t>NBA</t>
        </is>
      </c>
      <c r="B39" s="10" t="n">
        <v>0.82</v>
      </c>
      <c r="C39" s="11" t="inlineStr">
        <is>
          <t>8,123 units possible</t>
        </is>
      </c>
    </row>
    <row r="40">
      <c r="A40" s="8" t="inlineStr">
        <is>
          <t>XC2</t>
        </is>
      </c>
      <c r="B40" s="10" t="n">
        <v>0.32</v>
      </c>
      <c r="C40" s="11" t="inlineStr">
        <is>
          <t>3,170 units possible</t>
        </is>
      </c>
    </row>
    <row r="43" ht="20" customHeight="1">
      <c r="A43" s="12" t="inlineStr">
        <is>
          <t>3. MAXIMUM CAPACITY BY PROGRAM PER MONTH</t>
        </is>
      </c>
    </row>
    <row r="44">
      <c r="A44" s="5" t="inlineStr">
        <is>
          <t>Program</t>
        </is>
      </c>
      <c r="B44" s="5" t="inlineStr">
        <is>
          <t>Aug</t>
        </is>
      </c>
      <c r="C44" s="5" t="inlineStr">
        <is>
          <t>Sep</t>
        </is>
      </c>
      <c r="D44" s="5" t="inlineStr">
        <is>
          <t>Oct</t>
        </is>
      </c>
      <c r="E44" s="5" t="inlineStr">
        <is>
          <t>Nov</t>
        </is>
      </c>
      <c r="F44" s="5" t="inlineStr">
        <is>
          <t>Dec</t>
        </is>
      </c>
    </row>
    <row r="45">
      <c r="A45" s="8" t="inlineStr">
        <is>
          <t>Game</t>
        </is>
      </c>
      <c r="B45" s="13">
        <f>$B$24*$B$36</f>
        <v/>
      </c>
      <c r="C45" s="13">
        <f>$B$25*$B$36</f>
        <v/>
      </c>
      <c r="D45" s="13">
        <f>$B$26*$B$36</f>
        <v/>
      </c>
      <c r="E45" s="13">
        <f>$B$27*$B$36</f>
        <v/>
      </c>
      <c r="F45" s="13">
        <f>$B$28*$B$36</f>
        <v/>
      </c>
    </row>
    <row r="46">
      <c r="A46" s="8" t="inlineStr">
        <is>
          <t>Legend</t>
        </is>
      </c>
      <c r="B46" s="13">
        <f>$B$24*$B$37</f>
        <v/>
      </c>
      <c r="C46" s="13">
        <f>$B$25*$B$37</f>
        <v/>
      </c>
      <c r="D46" s="13">
        <f>$B$26*$B$37</f>
        <v/>
      </c>
      <c r="E46" s="13">
        <f>$B$27*$B$37</f>
        <v/>
      </c>
      <c r="F46" s="13">
        <f>$B$28*$B$37</f>
        <v/>
      </c>
    </row>
    <row r="47">
      <c r="A47" s="8" t="inlineStr">
        <is>
          <t>MLB</t>
        </is>
      </c>
      <c r="B47" s="13">
        <f>$B$24*$B$38</f>
        <v/>
      </c>
      <c r="C47" s="13">
        <f>$B$25*$B$38</f>
        <v/>
      </c>
      <c r="D47" s="13">
        <f>$B$26*$B$38</f>
        <v/>
      </c>
      <c r="E47" s="13">
        <f>$B$27*$B$38</f>
        <v/>
      </c>
      <c r="F47" s="13">
        <f>$B$28*$B$38</f>
        <v/>
      </c>
    </row>
    <row r="48">
      <c r="A48" s="8" t="inlineStr">
        <is>
          <t>NBA</t>
        </is>
      </c>
      <c r="B48" s="13">
        <f>$B$24*$B$39</f>
        <v/>
      </c>
      <c r="C48" s="13">
        <f>$B$25*$B$39</f>
        <v/>
      </c>
      <c r="D48" s="13">
        <f>$B$26*$B$39</f>
        <v/>
      </c>
      <c r="E48" s="13">
        <f>$B$27*$B$39</f>
        <v/>
      </c>
      <c r="F48" s="13">
        <f>$B$28*$B$39</f>
        <v/>
      </c>
    </row>
    <row r="49">
      <c r="A49" s="8" t="inlineStr">
        <is>
          <t>XC2</t>
        </is>
      </c>
      <c r="B49" s="13">
        <f>$B$24*$B$40</f>
        <v/>
      </c>
      <c r="C49" s="13">
        <f>$B$25*$B$40</f>
        <v/>
      </c>
      <c r="D49" s="13">
        <f>$B$26*$B$40</f>
        <v/>
      </c>
      <c r="E49" s="13">
        <f>$B$27*$B$40</f>
        <v/>
      </c>
      <c r="F49" s="13">
        <f>$B$28*$B$40</f>
        <v/>
      </c>
    </row>
    <row r="52" ht="20" customHeight="1">
      <c r="A52" s="14" t="inlineStr">
        <is>
          <t>4. DEMAND INPUT BY CUSTOMER (Enter units to produce per program and month)</t>
        </is>
      </c>
    </row>
    <row r="53" ht="35" customHeight="1">
      <c r="A53" s="15" t="inlineStr">
        <is>
          <t>👉 THIS IS WHERE YOU ENTER YOUR DATA! Enter the number of units you want to produce for each program in each month (YELLOW CELLS). The calculator will automatically show you how much standard capacity each demand consumes and validate if it fits within your limits.</t>
        </is>
      </c>
    </row>
    <row r="55">
      <c r="A55" s="16" t="inlineStr">
        <is>
          <t>Program</t>
        </is>
      </c>
      <c r="B55" s="16" t="inlineStr">
        <is>
          <t>Aug</t>
        </is>
      </c>
      <c r="C55" s="16" t="inlineStr">
        <is>
          <t>Sep</t>
        </is>
      </c>
      <c r="D55" s="16" t="inlineStr">
        <is>
          <t>Oct</t>
        </is>
      </c>
      <c r="E55" s="16" t="inlineStr">
        <is>
          <t>Nov</t>
        </is>
      </c>
      <c r="F55" s="16" t="inlineStr">
        <is>
          <t>Dec</t>
        </is>
      </c>
    </row>
    <row r="56">
      <c r="A56" s="8" t="inlineStr">
        <is>
          <t>Game</t>
        </is>
      </c>
      <c r="B56" s="17" t="n"/>
      <c r="C56" s="17" t="n"/>
      <c r="D56" s="17" t="n"/>
      <c r="E56" s="17" t="n"/>
      <c r="F56" s="17" t="n"/>
    </row>
    <row r="57">
      <c r="A57" s="8" t="inlineStr">
        <is>
          <t>Legend</t>
        </is>
      </c>
      <c r="B57" s="17" t="n"/>
      <c r="C57" s="17" t="n"/>
      <c r="D57" s="17" t="n"/>
      <c r="E57" s="17" t="n"/>
      <c r="F57" s="17" t="n"/>
    </row>
    <row r="58">
      <c r="A58" s="8" t="inlineStr">
        <is>
          <t>MLB</t>
        </is>
      </c>
      <c r="B58" s="17" t="n"/>
      <c r="C58" s="17" t="n"/>
      <c r="D58" s="17" t="n"/>
      <c r="E58" s="17" t="n"/>
      <c r="F58" s="17" t="n"/>
    </row>
    <row r="59">
      <c r="A59" s="8" t="inlineStr">
        <is>
          <t>NBA</t>
        </is>
      </c>
      <c r="B59" s="17" t="n"/>
      <c r="C59" s="17" t="n"/>
      <c r="D59" s="17" t="n"/>
      <c r="E59" s="17" t="n"/>
      <c r="F59" s="17" t="n"/>
    </row>
    <row r="60">
      <c r="A60" s="8" t="inlineStr">
        <is>
          <t>XC2</t>
        </is>
      </c>
      <c r="B60" s="17" t="n"/>
      <c r="C60" s="17" t="n"/>
      <c r="D60" s="17" t="n"/>
      <c r="E60" s="17" t="n"/>
      <c r="F60" s="17" t="n"/>
    </row>
    <row r="63" ht="20" customHeight="1">
      <c r="A63" s="18" t="inlineStr">
        <is>
          <t>5. STANDARD CAPACITY CONSUMPTION (Demand ÷ Conversion Factor)</t>
        </is>
      </c>
    </row>
    <row r="64" ht="25" customHeight="1">
      <c r="A64" s="4" t="inlineStr">
        <is>
          <t>This section automatically calculates how much standard capacity each demand consumes. You don't need to enter anything here.</t>
        </is>
      </c>
    </row>
    <row r="66">
      <c r="A66" s="16" t="inlineStr">
        <is>
          <t>Program</t>
        </is>
      </c>
      <c r="B66" s="16" t="inlineStr">
        <is>
          <t>Aug</t>
        </is>
      </c>
      <c r="C66" s="16" t="inlineStr">
        <is>
          <t>Sep</t>
        </is>
      </c>
      <c r="D66" s="16" t="inlineStr">
        <is>
          <t>Oct</t>
        </is>
      </c>
      <c r="E66" s="16" t="inlineStr">
        <is>
          <t>Nov</t>
        </is>
      </c>
      <c r="F66" s="16" t="inlineStr">
        <is>
          <t>Dec</t>
        </is>
      </c>
    </row>
    <row r="67">
      <c r="A67" s="8" t="inlineStr">
        <is>
          <t>Game</t>
        </is>
      </c>
      <c r="B67" s="13">
        <f>IF(B56="",0,B56/$B$36)</f>
        <v/>
      </c>
      <c r="C67" s="13">
        <f>IF(C56="",0,C56/$B$36)</f>
        <v/>
      </c>
      <c r="D67" s="13">
        <f>IF(D56="",0,D56/$B$36)</f>
        <v/>
      </c>
      <c r="E67" s="13">
        <f>IF(E56="",0,E56/$B$36)</f>
        <v/>
      </c>
      <c r="F67" s="13">
        <f>IF(F56="",0,F56/$B$36)</f>
        <v/>
      </c>
    </row>
    <row r="68">
      <c r="A68" s="8" t="inlineStr">
        <is>
          <t>Legend</t>
        </is>
      </c>
      <c r="B68" s="13">
        <f>IF(B57="",0,B57/$B$37)</f>
        <v/>
      </c>
      <c r="C68" s="13">
        <f>IF(C57="",0,C57/$B$37)</f>
        <v/>
      </c>
      <c r="D68" s="13">
        <f>IF(D57="",0,D57/$B$37)</f>
        <v/>
      </c>
      <c r="E68" s="13">
        <f>IF(E57="",0,E57/$B$37)</f>
        <v/>
      </c>
      <c r="F68" s="13">
        <f>IF(F57="",0,F57/$B$37)</f>
        <v/>
      </c>
    </row>
    <row r="69">
      <c r="A69" s="8" t="inlineStr">
        <is>
          <t>MLB</t>
        </is>
      </c>
      <c r="B69" s="13">
        <f>IF(B58="",0,B58/$B$38)</f>
        <v/>
      </c>
      <c r="C69" s="13">
        <f>IF(C58="",0,C58/$B$38)</f>
        <v/>
      </c>
      <c r="D69" s="13">
        <f>IF(D58="",0,D58/$B$38)</f>
        <v/>
      </c>
      <c r="E69" s="13">
        <f>IF(E58="",0,E58/$B$38)</f>
        <v/>
      </c>
      <c r="F69" s="13">
        <f>IF(F58="",0,F58/$B$38)</f>
        <v/>
      </c>
    </row>
    <row r="70">
      <c r="A70" s="8" t="inlineStr">
        <is>
          <t>NBA</t>
        </is>
      </c>
      <c r="B70" s="13">
        <f>IF(B59="",0,B59/$B$39)</f>
        <v/>
      </c>
      <c r="C70" s="13">
        <f>IF(C59="",0,C59/$B$39)</f>
        <v/>
      </c>
      <c r="D70" s="13">
        <f>IF(D59="",0,D59/$B$39)</f>
        <v/>
      </c>
      <c r="E70" s="13">
        <f>IF(E59="",0,E59/$B$39)</f>
        <v/>
      </c>
      <c r="F70" s="13">
        <f>IF(F59="",0,F59/$B$39)</f>
        <v/>
      </c>
    </row>
    <row r="71">
      <c r="A71" s="8" t="inlineStr">
        <is>
          <t>XC2</t>
        </is>
      </c>
      <c r="B71" s="13">
        <f>IF(B60="",0,B60/$B$40)</f>
        <v/>
      </c>
      <c r="C71" s="13">
        <f>IF(C60="",0,C60/$B$40)</f>
        <v/>
      </c>
      <c r="D71" s="13">
        <f>IF(D60="",0,D60/$B$40)</f>
        <v/>
      </c>
      <c r="E71" s="13">
        <f>IF(E60="",0,E60/$B$40)</f>
        <v/>
      </c>
      <c r="F71" s="13">
        <f>IF(F60="",0,F60/$B$40)</f>
        <v/>
      </c>
    </row>
    <row r="74" ht="20" customHeight="1">
      <c r="A74" s="3" t="inlineStr">
        <is>
          <t>6. MONTHLY SUMMARY &amp; VALIDATION</t>
        </is>
      </c>
    </row>
    <row r="75" ht="35" customHeight="1">
      <c r="A75" s="19" t="inlineStr">
        <is>
          <t>👉 INTERPRET YOUR RESULTS HERE! This section shows how much of your available capacity you're using each month. Green (✓ OK) = Under 80% | Yellow (⚠️) = 80-100% | Red (🚫) = Over 100% capacity!</t>
        </is>
      </c>
    </row>
    <row r="77">
      <c r="A77" s="5" t="inlineStr">
        <is>
          <t>Concept</t>
        </is>
      </c>
      <c r="B77" s="5" t="inlineStr">
        <is>
          <t>Aug</t>
        </is>
      </c>
      <c r="C77" s="5" t="inlineStr">
        <is>
          <t>Sep</t>
        </is>
      </c>
      <c r="D77" s="5" t="inlineStr">
        <is>
          <t>Oct</t>
        </is>
      </c>
      <c r="E77" s="5" t="inlineStr">
        <is>
          <t>Nov</t>
        </is>
      </c>
      <c r="F77" s="5" t="inlineStr">
        <is>
          <t>Dec</t>
        </is>
      </c>
    </row>
    <row r="78">
      <c r="A78" t="inlineStr">
        <is>
          <t>Available Capacity (Standard)</t>
        </is>
      </c>
      <c r="B78" s="20" t="n">
        <v>9906</v>
      </c>
      <c r="C78" s="20" t="n">
        <v>152384</v>
      </c>
      <c r="D78" s="20" t="n">
        <v>248234</v>
      </c>
      <c r="E78" s="20" t="n">
        <v>222844</v>
      </c>
      <c r="F78" s="20" t="n">
        <v>185964</v>
      </c>
    </row>
    <row r="79">
      <c r="A79" t="inlineStr">
        <is>
          <t>Total Consumed (Standard Units)</t>
        </is>
      </c>
      <c r="B79" s="21">
        <f>B67+B68+B69+B70+B71</f>
        <v/>
      </c>
      <c r="C79" s="21">
        <f>C67+C68+C69+C70+C71</f>
        <v/>
      </c>
      <c r="D79" s="21">
        <f>D67+D68+D69+D70+D71</f>
        <v/>
      </c>
      <c r="E79" s="21">
        <f>E67+E68+E69+E70+E71</f>
        <v/>
      </c>
      <c r="F79" s="21">
        <f>F67+F68+F69+F70+F71</f>
        <v/>
      </c>
    </row>
    <row r="80">
      <c r="A80" t="inlineStr">
        <is>
          <t>Remaining Capacity</t>
        </is>
      </c>
      <c r="B80" s="22">
        <f>B78-B79</f>
        <v/>
      </c>
      <c r="C80" s="22">
        <f>C78-C79</f>
        <v/>
      </c>
      <c r="D80" s="22">
        <f>D78-D79</f>
        <v/>
      </c>
      <c r="E80" s="22">
        <f>E78-E79</f>
        <v/>
      </c>
      <c r="F80" s="22">
        <f>F78-F79</f>
        <v/>
      </c>
    </row>
    <row r="81">
      <c r="A81" t="inlineStr">
        <is>
          <t>Utilization %</t>
        </is>
      </c>
      <c r="B81" s="23">
        <f>IF(B78=0,0,B79/B78)</f>
        <v/>
      </c>
      <c r="C81" s="23">
        <f>IF(C78=0,0,C79/C78)</f>
        <v/>
      </c>
      <c r="D81" s="23">
        <f>IF(D78=0,0,D79/D78)</f>
        <v/>
      </c>
      <c r="E81" s="23">
        <f>IF(E78=0,0,E79/E78)</f>
        <v/>
      </c>
      <c r="F81" s="23">
        <f>IF(F78=0,0,F79/F78)</f>
        <v/>
      </c>
    </row>
    <row r="82">
      <c r="A82" t="inlineStr">
        <is>
          <t>Status</t>
        </is>
      </c>
      <c r="B82" s="24">
        <f>IF(B79&gt;B78,"🚫 OVER CAPACITY",IF(B79/B78&gt;0.8,"⚠️ WARNING","✓ OK"))</f>
        <v/>
      </c>
      <c r="C82" s="24">
        <f>IF(C79&gt;C78,"🚫 OVER CAPACITY",IF(C79/C78&gt;0.8,"⚠️ WARNING","✓ OK"))</f>
        <v/>
      </c>
      <c r="D82" s="24">
        <f>IF(D79&gt;D78,"🚫 OVER CAPACITY",IF(D79/D78&gt;0.8,"⚠️ WARNING","✓ OK"))</f>
        <v/>
      </c>
      <c r="E82" s="24">
        <f>IF(E79&gt;E78,"🚫 OVER CAPACITY",IF(E79/E78&gt;0.8,"⚠️ WARNING","✓ OK"))</f>
        <v/>
      </c>
      <c r="F82" s="24">
        <f>IF(F79&gt;F78,"🚫 OVER CAPACITY",IF(F79/F78&gt;0.8,"⚠️ WARNING","✓ OK"))</f>
        <v/>
      </c>
    </row>
    <row r="85" ht="20" customHeight="1">
      <c r="A85" s="3" t="inlineStr">
        <is>
          <t>7. CAPACITY VISUALIZATION CHARTS</t>
        </is>
      </c>
    </row>
    <row r="87">
      <c r="A87" s="5" t="inlineStr">
        <is>
          <t>Month</t>
        </is>
      </c>
      <c r="B87" s="5" t="inlineStr">
        <is>
          <t>Available Capacity</t>
        </is>
      </c>
      <c r="C87" s="5" t="inlineStr">
        <is>
          <t>Consumed Capacity</t>
        </is>
      </c>
    </row>
    <row r="88">
      <c r="A88" s="25" t="inlineStr">
        <is>
          <t>Aug</t>
        </is>
      </c>
      <c r="B88" s="26" t="n">
        <v>9906</v>
      </c>
      <c r="C88" s="26">
        <f>B67+B68+B69+B70+B71</f>
        <v/>
      </c>
    </row>
    <row r="89">
      <c r="A89" s="25" t="inlineStr">
        <is>
          <t>Sep</t>
        </is>
      </c>
      <c r="B89" s="26" t="n">
        <v>152384</v>
      </c>
      <c r="C89" s="26">
        <f>C67+C68+C69+C70+C71</f>
        <v/>
      </c>
    </row>
    <row r="90">
      <c r="A90" s="25" t="inlineStr">
        <is>
          <t>Oct</t>
        </is>
      </c>
      <c r="B90" s="26" t="n">
        <v>248234</v>
      </c>
      <c r="C90" s="26">
        <f>D67+D68+D69+D70+D71</f>
        <v/>
      </c>
    </row>
    <row r="91">
      <c r="A91" s="25" t="inlineStr">
        <is>
          <t>Nov</t>
        </is>
      </c>
      <c r="B91" s="26" t="n">
        <v>222844</v>
      </c>
      <c r="C91" s="26">
        <f>E67+E68+E69+E70+E71</f>
        <v/>
      </c>
    </row>
    <row r="92">
      <c r="A92" s="25" t="inlineStr">
        <is>
          <t>Dec</t>
        </is>
      </c>
      <c r="B92" s="26" t="n">
        <v>185964</v>
      </c>
      <c r="C92" s="26">
        <f>F67+F68+F69+F70+F71</f>
        <v/>
      </c>
    </row>
  </sheetData>
  <mergeCells count="21">
    <mergeCell ref="A75:F75"/>
    <mergeCell ref="A74:F74"/>
    <mergeCell ref="A3:F3"/>
    <mergeCell ref="A21:F21"/>
    <mergeCell ref="A33:C33"/>
    <mergeCell ref="A85:F85"/>
    <mergeCell ref="A32:C32"/>
    <mergeCell ref="A5:F5"/>
    <mergeCell ref="A17:F17"/>
    <mergeCell ref="A20:F20"/>
    <mergeCell ref="A53:F53"/>
    <mergeCell ref="A43:F43"/>
    <mergeCell ref="A63:F63"/>
    <mergeCell ref="A52:F52"/>
    <mergeCell ref="A13:F13"/>
    <mergeCell ref="A9:F9"/>
    <mergeCell ref="A64:F64"/>
    <mergeCell ref="A15:F15"/>
    <mergeCell ref="A11:F11"/>
    <mergeCell ref="A1:F1"/>
    <mergeCell ref="A7:F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2026-04-21T20:23:28Z</dcterms:created>
  <dcterms:modified xmlns:dcterms="http://purl.org/dc/terms/" xmlns:xsi="http://www.w3.org/2001/XMLSchema-instance" xsi:type="dcterms:W3CDTF">2026-04-21T20:23:28Z</dcterms:modified>
</cp:coreProperties>
</file>